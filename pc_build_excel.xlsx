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ungWeed\Downloads\BANKA REAL\"/>
    </mc:Choice>
  </mc:AlternateContent>
  <bookViews>
    <workbookView xWindow="0" yWindow="0" windowWidth="23040" windowHeight="9192"/>
  </bookViews>
  <sheets>
    <sheet name="PC Build" sheetId="1" r:id="rId1"/>
  </sheets>
  <calcPr calcId="162913"/>
</workbook>
</file>

<file path=xl/calcChain.xml><?xml version="1.0" encoding="utf-8"?>
<calcChain xmlns="http://schemas.openxmlformats.org/spreadsheetml/2006/main">
  <c r="C3" i="1" l="1"/>
  <c r="C2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<sst xmlns="http://schemas.openxmlformats.org/spreadsheetml/2006/main" count="26" uniqueCount="26">
  <si>
    <t>Компонент</t>
  </si>
  <si>
    <t>Модель</t>
  </si>
  <si>
    <t>Фото</t>
  </si>
  <si>
    <t>Посилання на магазин</t>
  </si>
  <si>
    <t>Приблизна ціна (грн)</t>
  </si>
  <si>
    <t>Процесор</t>
  </si>
  <si>
    <t>AMD Ryzen 5 5600</t>
  </si>
  <si>
    <t>https://click.ua/ru/shop/protsessor-amd-ryzen-5-5600-left-parenthesis3dot5ghz-32mb-65w-am4right-parenthesis-tray-left-parenthesis100minus000000927right-parenthesis-p113569</t>
  </si>
  <si>
    <t>Материнська плата</t>
  </si>
  <si>
    <t>MSI B550M PRO</t>
  </si>
  <si>
    <t>https://click.ua/ru/shop/materinskaya-plata-asus-prime-b550mminusaslashcsm-socket-am4-p75650</t>
  </si>
  <si>
    <t>Відеокарта</t>
  </si>
  <si>
    <t>NVIDIA GeForce RTX 4060 8GB</t>
  </si>
  <si>
    <t>https://click.ua/shop/videokarta-gf-rtx-5050-8gb-gddr6-dual-oc-asus-left-parenthesisdualminusrtx5050minuso8gright-parenthesis-p165243</t>
  </si>
  <si>
    <t>Оперативна пам'ять</t>
  </si>
  <si>
    <t>Kingston Fury 32GB (2x16GB) DDR4 3200</t>
  </si>
  <si>
    <t>https://telemart.ua/ua/products/kingston-ddr4-32gb-2x16gb-3200mhz-fury-beast-black-kf432c16bb1k232/</t>
  </si>
  <si>
    <t>SSD</t>
  </si>
  <si>
    <t>Kingston NV2 1TB NVMe</t>
  </si>
  <si>
    <t>https://click.ua/ru/shop/nakopitel-ssd-1tb-patriot-p300-mdot2-2280-pcie-3dot0-x4-nvme-tlc-left-parenthesisp300p1tbm28right-parenthesis-p4293</t>
  </si>
  <si>
    <t>Блок живлення</t>
  </si>
  <si>
    <t>Chieftec 650W 80+ Bronze</t>
  </si>
  <si>
    <t>https://click.ua/ru/shop/blok-pitaniya-cougar-atlas-650-650w-p155490</t>
  </si>
  <si>
    <t>Корпус</t>
  </si>
  <si>
    <t>Vinga Gaming Case</t>
  </si>
  <si>
    <t>https://click.ua/ru/shop/korpus-1stplayer-x2minusmminusbkminus4f1-black-bez-bp-p149927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</si>
</sst>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C3" sqref="C3"/>
    </sheetView>
  </sheetViews>
  <sheetFormatPr defaultRowHeight="14.4" x14ac:dyDescent="0.3"/>
  <cols>
    <col min="1" max="1" width="28" customWidth="1"/>
    <col min="2" max="2" width="27.21875" customWidth="1"/>
    <col min="3" max="3" width="16.21875" customWidth="1"/>
    <col min="4" max="4" width="58.109375" customWidth="1"/>
    <col min="5" max="5" width="27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e">
        <f ca="1">IMAGE("https://click.ua/content/shop/products/113569/photos/protsessor-amd-ryzen-5-5600-left-parenthesis3dot5ghz-32mb-65w-am4right-parenthesis-tray-left-parenthesis100minus000000927right--800x800-6736.jpg")</f>
        <v>#NAME?</v>
      </c>
      <c r="D2" t="s">
        <v>7</v>
      </c>
      <c r="E2">
        <v>5500</v>
      </c>
    </row>
    <row r="3" spans="1:5" x14ac:dyDescent="0.3">
      <c r="A3" t="s">
        <v>8</v>
      </c>
      <c r="B3" t="s">
        <v>9</v>
      </c>
      <c r="C3" t="e">
        <f ca="1">IMAGE("https://click.ua/content/shop/products/75650/photos/materinskaya-plata-asus-prime-b550mminusaslashcsm-socket-am4-800x800-c205.jpg")</f>
        <v>#NAME?</v>
      </c>
      <c r="D3" t="s">
        <v>10</v>
      </c>
      <c r="E3">
        <v>4200</v>
      </c>
    </row>
    <row r="4" spans="1:5" x14ac:dyDescent="0.3">
      <c r="A4" t="s">
        <v>11</v>
      </c>
      <c r="B4" t="s">
        <v>12</v>
      </c>
      <c r="C4" t="e">
        <f ca="1">IMAGE("https://click.ua/content/shop/products/165243/photos/videokarta-gf-rtx-5050-8gb-gddr6-dual-oc-asus-left-parenthesisdualminusrtx5050minuso8gright-parenthesis-800x800-1055.jpg")</f>
        <v>#NAME?</v>
      </c>
      <c r="D4" t="s">
        <v>13</v>
      </c>
      <c r="E4">
        <v>18000</v>
      </c>
    </row>
    <row r="5" spans="1:5" x14ac:dyDescent="0.3">
      <c r="A5" t="s">
        <v>14</v>
      </c>
      <c r="B5" t="s">
        <v>15</v>
      </c>
      <c r="C5" t="e">
        <f ca="1">IMAGE("https://img.telemart.ua/374725-526249/kingston-ddr4-32gb-2x16gb-3200mhz-fury-beast-black-kf432c16bb1k232.jpg")</f>
        <v>#NAME?</v>
      </c>
      <c r="D5" t="s">
        <v>16</v>
      </c>
      <c r="E5">
        <v>9500</v>
      </c>
    </row>
    <row r="6" spans="1:5" x14ac:dyDescent="0.3">
      <c r="A6" t="s">
        <v>17</v>
      </c>
      <c r="B6" t="s">
        <v>18</v>
      </c>
      <c r="C6" t="e">
        <f ca="1">IMAGE("https://click.ua/content/shop/products/4293/photos/nakopitel-ssd-1tb-patriot-p300-mdot2-2280-pcie-3dot0-x4-nvme-tlc-left-parenthesisp300p1tbm28right-parenthesis-800x800-177a.jpg")</f>
        <v>#NAME?</v>
      </c>
      <c r="D6" t="s">
        <v>19</v>
      </c>
      <c r="E6">
        <v>5500</v>
      </c>
    </row>
    <row r="7" spans="1:5" x14ac:dyDescent="0.3">
      <c r="A7" t="s">
        <v>20</v>
      </c>
      <c r="B7" t="s">
        <v>21</v>
      </c>
      <c r="C7" t="e">
        <f ca="1">IMAGE("https://click.ua/content/shop/products/155490/photos/blok-pitaniya-cougar-atlas-650-650w-800x800-42b0.jpg")</f>
        <v>#NAME?</v>
      </c>
      <c r="D7" t="s">
        <v>22</v>
      </c>
      <c r="E7">
        <v>2700</v>
      </c>
    </row>
    <row r="8" spans="1:5" x14ac:dyDescent="0.3">
      <c r="A8" t="s">
        <v>23</v>
      </c>
      <c r="B8" t="s">
        <v>24</v>
      </c>
      <c r="C8" t="e">
        <f ca="1">IMAGE("https://click.ua/content/shop/products/149927/photos/korpus-1stplayer-x2minusmminusbkminus4f1-black-bez-bp-800x800-a90b.jpg")</f>
        <v>#NAME?</v>
      </c>
      <c r="D8" t="s">
        <v>25</v>
      </c>
      <c r="E8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PC Build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YungWeed</cp:lastModifiedBy>
  <dcterms:created xsi:type="dcterms:W3CDTF">2026-03-06T11:51:28Z</dcterms:created>
  <dcterms:modified xsi:type="dcterms:W3CDTF">2026-03-06T11:53:01Z</dcterms:modified>
</cp:coreProperties>
</file>